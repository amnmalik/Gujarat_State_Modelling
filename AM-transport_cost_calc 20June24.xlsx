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ujarat_State_Modelling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12" i="1"/>
  <c r="C12" i="1"/>
  <c r="E13" i="1" l="1"/>
  <c r="E11" i="1"/>
  <c r="C13" i="1"/>
  <c r="C11" i="1"/>
  <c r="F12" i="1" l="1"/>
  <c r="C15" i="1"/>
</calcChain>
</file>

<file path=xl/sharedStrings.xml><?xml version="1.0" encoding="utf-8"?>
<sst xmlns="http://schemas.openxmlformats.org/spreadsheetml/2006/main" count="23" uniqueCount="17">
  <si>
    <t>Formula</t>
  </si>
  <si>
    <t>((P*EI)+P)/L</t>
  </si>
  <si>
    <t>(P*EI)/L+(P/L)</t>
  </si>
  <si>
    <t>inputs</t>
  </si>
  <si>
    <t>P (Fuel cost)</t>
  </si>
  <si>
    <t>EnI</t>
  </si>
  <si>
    <t>Electric</t>
  </si>
  <si>
    <t>Liquids</t>
  </si>
  <si>
    <t>Load factor</t>
  </si>
  <si>
    <t>1975$/GJ</t>
  </si>
  <si>
    <t>MJ/VKT</t>
  </si>
  <si>
    <t>1990$/tonne-km</t>
  </si>
  <si>
    <t>Levelised non-energy cost</t>
  </si>
  <si>
    <t>1975$/tonne-km</t>
  </si>
  <si>
    <t>Final</t>
  </si>
  <si>
    <t>1st part</t>
  </si>
  <si>
    <t>2nd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</si>
</sst>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tabSelected="1" workbookViewId="0">
      <selection activeCell="C9" sqref="C9"/>
    </sheetView>
  </sheetViews>
  <sheetFormatPr defaultRowHeight="14.5" x14ac:dyDescent="0.35"/>
  <cols>
    <col min="2" max="2" width="10.81640625" bestFit="1" customWidth="1"/>
    <col min="4" max="4" width="14.81640625" bestFit="1" customWidth="1"/>
  </cols>
  <sheetData>
    <row r="2" spans="1:6" x14ac:dyDescent="0.35">
      <c r="B2" t="s">
        <v>0</v>
      </c>
      <c r="E2" t="s">
        <v>1</v>
      </c>
    </row>
    <row r="3" spans="1:6" x14ac:dyDescent="0.35">
      <c r="E3" t="s">
        <v>2</v>
      </c>
    </row>
    <row r="4" spans="1:6" x14ac:dyDescent="0.35">
      <c r="B4" t="s">
        <v>3</v>
      </c>
      <c r="C4" s="2" t="s">
        <v>6</v>
      </c>
      <c r="D4" s="2"/>
      <c r="E4" s="2" t="s">
        <v>7</v>
      </c>
    </row>
    <row r="6" spans="1:6" x14ac:dyDescent="0.35">
      <c r="A6">
        <v>2025</v>
      </c>
      <c r="B6" t="s">
        <v>4</v>
      </c>
      <c r="C6" s="1">
        <v>5.9729999999999999</v>
      </c>
      <c r="D6" t="s">
        <v>9</v>
      </c>
      <c r="E6">
        <v>6.0949999999999998</v>
      </c>
      <c r="F6" t="s">
        <v>9</v>
      </c>
    </row>
    <row r="7" spans="1:6" x14ac:dyDescent="0.35">
      <c r="B7" t="s">
        <v>5</v>
      </c>
      <c r="C7">
        <v>440</v>
      </c>
      <c r="D7" t="s">
        <v>10</v>
      </c>
      <c r="E7">
        <v>3125</v>
      </c>
      <c r="F7" t="s">
        <v>10</v>
      </c>
    </row>
    <row r="8" spans="1:6" x14ac:dyDescent="0.35">
      <c r="B8" t="s">
        <v>8</v>
      </c>
      <c r="C8">
        <v>2.14</v>
      </c>
      <c r="E8">
        <v>2.14</v>
      </c>
    </row>
    <row r="9" spans="1:6" x14ac:dyDescent="0.35">
      <c r="B9" t="s">
        <v>12</v>
      </c>
      <c r="C9">
        <v>0.69</v>
      </c>
      <c r="D9" t="s">
        <v>11</v>
      </c>
      <c r="E9">
        <v>0.5</v>
      </c>
      <c r="F9" t="s">
        <v>11</v>
      </c>
    </row>
    <row r="11" spans="1:6" x14ac:dyDescent="0.35">
      <c r="B11" t="s">
        <v>15</v>
      </c>
      <c r="C11">
        <f>(C6*(C7/1000))/C8</f>
        <v>1.2280934579439251</v>
      </c>
      <c r="D11" t="s">
        <v>13</v>
      </c>
      <c r="E11">
        <f>(E6*(E7/1000))/C8</f>
        <v>8.9004088785046722</v>
      </c>
      <c r="F11" t="s">
        <v>13</v>
      </c>
    </row>
    <row r="12" spans="1:6" x14ac:dyDescent="0.35">
      <c r="C12">
        <f>(C11*2.43)/1000</f>
        <v>2.9842671028037383E-3</v>
      </c>
      <c r="D12" t="s">
        <v>11</v>
      </c>
      <c r="E12">
        <f>(E11*2.43)/1000</f>
        <v>2.1627993574766354E-2</v>
      </c>
      <c r="F12">
        <f>E12/1000</f>
        <v>2.1627993574766354E-5</v>
      </c>
    </row>
    <row r="13" spans="1:6" x14ac:dyDescent="0.35">
      <c r="B13" t="s">
        <v>16</v>
      </c>
      <c r="C13">
        <f>C9/C8</f>
        <v>0.32242990654205606</v>
      </c>
      <c r="D13" t="s">
        <v>11</v>
      </c>
      <c r="E13">
        <f>E9/E8</f>
        <v>0.23364485981308411</v>
      </c>
    </row>
    <row r="15" spans="1:6" x14ac:dyDescent="0.35">
      <c r="A15" t="s">
        <v>14</v>
      </c>
      <c r="B15" s="3">
        <v>1.7000000000000001E-2</v>
      </c>
      <c r="C15">
        <f>(C12/1000)+C13</f>
        <v>0.32243289080915888</v>
      </c>
      <c r="E15" s="3">
        <f>(E12)+E13</f>
        <v>0.25527285338785044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Malik</dc:creator>
  <cp:lastModifiedBy>Aman Malik</cp:lastModifiedBy>
  <dcterms:created xsi:type="dcterms:W3CDTF">2024-06-20T04:54:33Z</dcterms:created>
  <dcterms:modified xsi:type="dcterms:W3CDTF">2024-06-20T05:55:54Z</dcterms:modified>
</cp:coreProperties>
</file>